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esar\Documents\universidad\a\2do\"/>
    </mc:Choice>
  </mc:AlternateContent>
  <xr:revisionPtr revIDLastSave="0" documentId="13_ncr:1_{3BE67196-8170-45A0-8614-F648FDFFA160}" xr6:coauthVersionLast="47" xr6:coauthVersionMax="47" xr10:uidLastSave="{00000000-0000-0000-0000-000000000000}"/>
  <bookViews>
    <workbookView xWindow="-120" yWindow="-120" windowWidth="29040" windowHeight="15720" xr2:uid="{00000000-000D-0000-FFFF-FFFF00000000}"/>
  </bookViews>
  <sheets>
    <sheet name="Grupo 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1" l="1"/>
  <c r="L12" i="1"/>
  <c r="L11" i="1"/>
  <c r="M11" i="1" s="1"/>
  <c r="L10" i="1"/>
  <c r="M10" i="1" s="1"/>
  <c r="L9" i="1"/>
  <c r="M9" i="1" s="1"/>
  <c r="M8" i="1"/>
  <c r="L8" i="1"/>
</calcChain>
</file>

<file path=xl/sharedStrings.xml><?xml version="1.0" encoding="utf-8"?>
<sst xmlns="http://schemas.openxmlformats.org/spreadsheetml/2006/main" count="43" uniqueCount="43">
  <si>
    <t>GRUPO No:</t>
  </si>
  <si>
    <t>Nombres y Apellidos:</t>
  </si>
  <si>
    <t>Alcance:</t>
  </si>
  <si>
    <t>Evaluación del control interno de TI con COBIT en Banco Debilidad S.A.: alineación estratégica, organización de TI, seguridad, cambios, continuidad y monitoreo del control interno.</t>
  </si>
  <si>
    <t>EVALUACIÓN DE RIESGOS - MATRIZ DE HALLAZGOS DE AUDITORÍA INFORMÁTICA</t>
  </si>
  <si>
    <t>Documento de propiedad intelectual por Mgr. Ing. Lourdes Peredo Quiroga (se autoriza el uso solo para estudiantes de UCB)</t>
  </si>
  <si>
    <t>No.</t>
  </si>
  <si>
    <t>HALLAZGO</t>
  </si>
  <si>
    <t>CRITERIO</t>
  </si>
  <si>
    <t>CAUSA / EFECTO</t>
  </si>
  <si>
    <t>CONCLUSIÓN</t>
  </si>
  <si>
    <t>P</t>
  </si>
  <si>
    <t>I</t>
  </si>
  <si>
    <t>RIESGO</t>
  </si>
  <si>
    <t>NIVEL RIESGO</t>
  </si>
  <si>
    <t>RECOMENDACIÓN</t>
  </si>
  <si>
    <t>Se evidenció que el cargo de Técnico de Seguridad de Sistemas depende jerárquicamente del Administrador de Servidores, lo cual vulnera la independencia de la función de seguridad, permitiendo conflictos de interés en la gestión, ejecución y control de actividades críticas de TI.</t>
  </si>
  <si>
    <t>Dominio: Planeación y Organización (PO). Proceso: PO4 – Definir los procesos, organización y relaciones de TI. Adicionalmente, incumple el Plan Estratégico de Seguridad de la Información (PESI) y principios de ISO 27001 y normativa ASFI que exigen independencia de la función de seguridad.</t>
  </si>
  <si>
    <t>La causa radica en una deficiencia en el diseño organizacional y falta de alineación con lineamientos estratégicos.
El efecto es la pérdida de objetividad, incremento del riesgo de fraude, omisión de controles y vulneración de la seguridad de la información.</t>
  </si>
  <si>
    <t>La estructura organizacional actual compromete gravemente la segregación de funciones, debilitando el control interno y exponiendo a la entidad a riesgos críticos de seguridad.</t>
  </si>
  <si>
    <t>Reestructurar el organigrama para que la función de seguridad dependa de una instancia independiente, actualizar manuales de funciones y asegurar cumplimiento de estándares como ISO 27001 y normativa ASFI.</t>
  </si>
  <si>
    <t>Se identificó que, aunque el Código de Ética establece la existencia de un canal de denuncias, este no opera en la práctica, evidenciándose además una cultura organizacional que prioriza resultados financieros sobre el cumplimiento de controles internos.</t>
  </si>
  <si>
    <t>Dominio: Monitorear y Evaluar (ME). Proceso: ME2 – Monitorear y evaluar el control interno. Adicionalmente, incumple el Código de Ética institucional y principios del modelo COSO de control interno.</t>
  </si>
  <si>
    <t>La causa es la falta de compromiso de la alta gerencia y una brecha entre normativa y ejecución.
El efecto es el debilitamiento del ambiente de control, incremento de fraudes y desincentivo a reportar irregularidades.</t>
  </si>
  <si>
    <t>Existe una debilidad crítica en el ambiente de control y en la cultura organizacional, lo que afecta la efectividad del sistema de control interno.</t>
  </si>
  <si>
    <t>Implementar un canal de denuncias anónimo y funcional gestionado por un ente independiente y redefinir los criterios de evaluación de desempeño incorporando el cumplimiento de controles.</t>
  </si>
  <si>
    <t>El PETI 2026–2028 establece una segregación formal entre desarrollo, certificación/calidad y producción/infraestructura; incluso menciona una Jefatura de Certificación y Calidad. Sin embargo, la Descripción Institucional y los manuales de funciones muestran que el Analista de Calidad (MF-004) depende del Jefe de Proyectos y que el Analista de Automatización (MF-005) depende del Analista de Calidad, ambos dentro de la Subgerencia de Desarrollo. En la documentación operativa no se evidencia una jefatura o unidad independiente de certificación, lo que debilita la objetividad del gate previo a producción y aumenta el riesgo de que la presión por cumplimiento de plazos afecte la calidad del cambio.</t>
  </si>
  <si>
    <t>Dominio: Planeación y Organización (PO). Proceso: PO4 – Definir los procesos, organización y relaciones de TI.</t>
  </si>
  <si>
    <t>La causa es un diseño organizativo incompleto y la falta de consistencia entre el PETI y la estructura real definida en organigrama y manuales.
El efecto es la pérdida de independencia de la certificación y un mayor riesgo de que la presión por plazos afecte la calidad del cambio.</t>
  </si>
  <si>
    <t>La entidad presenta una contradicción documental y operativa en la función de certificación/calidad, debilitando la segregación previa a producción y el aseguramiento de calidad de TI.</t>
  </si>
  <si>
    <t>Formalizar la función de certificación/calidad como instancia diferenciada del desarrollo o, al menos, definir un esquema de aprobación independiente para liberaciones. Actualizar PETI u organigrama para que no exista contradicción documental y exigir evidencia de aprobación independiente antes de cada pase a producción.</t>
  </si>
  <si>
    <t>La entidad cuenta con PEI, PETI y PESI, documentos que definen objetivos, criterios de riesgo y metas de control; sin embargo, el expediente no contiene una matriz integral de riesgos TI que consolide activos, amenazas, vulnerabilidades, probabilidad, impacto, controles existentes, responsables y planes de tratamiento. El Informe de Seguimiento al Sistema de Control Interno también señala que no se tiene un sistema formal de gestión de riesgos ni una matriz con priorización integral, y que no se evidencia un proceso suficientemente formal para comunicar y monitorear medidas correctivas.</t>
  </si>
  <si>
    <t>Dominio: Monitorear y Evaluar (ME). Proceso: ME2 – Monitorear y evaluar el control interno.</t>
  </si>
  <si>
    <t>La causa es la disposición de lineamientos estratégicos y normativos, pero no de un instrumento operativo consolidado para administrar y seguir los riesgos TI.
El efecto es la limitada trazabilidad entre riesgo identificado, control implementado, seguimiento y cierre de observaciones.</t>
  </si>
  <si>
    <t>La gestión de riesgos TI no se encuentra integrada ni formalmente consolidada, lo que dificulta priorizar, controlar y monitorear los riesgos de forma sistemática.</t>
  </si>
  <si>
    <t>Construir una matriz integral de riesgos TI alineada al PESI y a COBIT, con responsables, evaluación de probabilidad e impacto, controles, plan de tratamiento, fechas de seguimiento y estado de cierre. Integrar el seguimiento de hallazgos con revisiones periódicas por la gerencia.</t>
  </si>
  <si>
    <t>Durante la revisión documental se identificó una inconsistencia en la definición organizativa de la función de calidad de TI. El PETI y las Políticas de Seguridad describen una estructura con Jefatura de Certificación y Calidad y con una segregación formal entre desarrollo, certificación/calidad y producción/infraestructura. Sin embargo, en la Descripción Institucional y en los manuales de funciones MF-004 y MF-005, la calidad y la automatización aparecen integradas dentro de la Subgerencia de Desarrollo, dependiendo operativamente de esa misma línea.</t>
  </si>
  <si>
    <t>Dominio: Planeación y Organización (PO). Proceso: PO4 – Definir los procesos, organización y relaciones de TI. La inconsistencia en la ubicación de la función de calidad afecta la estructura organizativa y la segregación de responsabilidades en TI.</t>
  </si>
  <si>
    <t>La causa es la desalineación entre la documentación estratégica y la documentación operativa del banco respecto a la función de calidad de TI.
El efecto es la ambigüedad en responsabilidades, menor estandarización de controles y potencial afectación de la independencia funcional de calidad.</t>
  </si>
  <si>
    <t>El modelo de aseguramiento de calidad de TI no está definido de forma consistente en toda la documentación institucional, debilitando su gobernanza y control.</t>
  </si>
  <si>
    <t>Homologar la definición organizativa y documental de la función de calidad de TI en todos los instrumentos institucionales, alineando PETI, políticas, descripción organizacional, organigrama y manuales de funciones. Además, formalizar el rol de calidad con responsabilidades, dependencia jerárquica y alcance claramente definidos para evitar ambigüedades en el control.</t>
  </si>
  <si>
    <t>Grupo Outliers</t>
  </si>
  <si>
    <t>Mauricio Piza, Franco Peñaloza, Cesar Vera, Jhulianna Tarqui, Christian Mendoza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</si>
</sst>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ont>
    <font>
      <sz val="10"/>
      <color theme="1"/>
      <name val="Arial"/>
    </font>
    <font>
      <b/>
      <sz val="10"/>
      <color theme="1"/>
      <name val="Arial"/>
    </font>
    <font>
      <sz val="10"/>
      <color rgb="FF000000"/>
      <name val="Arial"/>
    </font>
    <font>
      <b/>
      <sz val="11"/>
      <color theme="1"/>
      <name val="Calibri"/>
    </font>
    <font>
      <b/>
      <sz val="12"/>
      <color theme="1"/>
      <name val="Arial"/>
    </font>
    <font>
      <b/>
      <i/>
      <sz val="11"/>
      <color theme="1"/>
      <name val="Calibri"/>
    </font>
    <font>
      <i/>
      <sz val="10"/>
      <color theme="1"/>
      <name val="Calibri"/>
    </font>
  </fonts>
  <fills count="3">
    <fill>
      <patternFill patternType="none"/>
    </fill>
    <fill>
      <patternFill patternType="gray125"/>
    </fill>
    <fill>
      <patternFill patternType="solid">
        <fgColor rgb="FF00B0F0"/>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8">
    <xf numFmtId="0" fontId="0" fillId="0" borderId="0" xfId="0"/>
    <xf numFmtId="0" fontId="2" fillId="2" borderId="1" xfId="0" applyFont="1" applyFill="1" applyBorder="1" applyAlignment="1">
      <alignment vertical="center"/>
    </xf>
    <xf numFmtId="0" fontId="5" fillId="0" borderId="0" xfId="0" applyFont="1" applyAlignment="1">
      <alignment vertical="top"/>
    </xf>
    <xf numFmtId="0" fontId="6" fillId="0" borderId="0" xfId="0" applyFont="1"/>
    <xf numFmtId="0" fontId="2" fillId="2" borderId="1" xfId="0" applyFont="1" applyFill="1" applyBorder="1" applyAlignment="1">
      <alignment vertical="center" wrapText="1"/>
    </xf>
    <xf numFmtId="0" fontId="4" fillId="0" borderId="0" xfId="0" applyFont="1"/>
    <xf numFmtId="0" fontId="7" fillId="0" borderId="0" xfId="0" applyFont="1"/>
    <xf numFmtId="0" fontId="2"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3" fillId="0" borderId="0" xfId="0" applyFont="1" applyAlignment="1">
      <alignment vertical="center" wrapText="1"/>
    </xf>
    <xf numFmtId="0" fontId="1" fillId="0" borderId="1" xfId="0" applyFont="1" applyBorder="1" applyAlignment="1">
      <alignment vertical="center" wrapText="1"/>
    </xf>
    <xf numFmtId="0" fontId="1" fillId="0" borderId="4"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2" fillId="2" borderId="1" xfId="0" applyFont="1" applyFill="1" applyBorder="1" applyAlignment="1">
      <alignment horizontal="center" vertical="center"/>
    </xf>
    <xf numFmtId="0" fontId="0" fillId="0" borderId="2" xfId="0" applyBorder="1"/>
    <xf numFmtId="0" fontId="0" fillId="0" borderId="3" xfId="0" applyBorder="1"/>
  </cellXfs>
  <cellStyles count="1">
    <cellStyle name="Normal" xfId="0" builtinId="0"/>
  </cellStyles>
  <dxfs count="5">
    <dxf>
      <font>
        <color auto="1"/>
      </font>
      <fill>
        <patternFill>
          <bgColor theme="9"/>
        </patternFill>
      </fill>
    </dxf>
    <dxf>
      <fill>
        <patternFill>
          <bgColor rgb="FF92D050"/>
        </patternFill>
      </fill>
    </dxf>
    <dxf>
      <fill>
        <patternFill>
          <bgColor rgb="FFFFC000"/>
        </patternFill>
      </fill>
    </dxf>
    <dxf>
      <fill>
        <patternFill>
          <bgColor rgb="FFFF0000"/>
        </patternFill>
      </fill>
    </dxf>
    <dxf>
      <font>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2013 - 2022">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
  <sheetViews>
    <sheetView showGridLines="0" tabSelected="1" zoomScale="115" zoomScaleNormal="115" workbookViewId="0">
      <selection activeCell="C2" sqref="C2"/>
    </sheetView>
  </sheetViews>
  <sheetFormatPr defaultColWidth="11.42578125" defaultRowHeight="15" x14ac:dyDescent="0.25"/>
  <cols>
    <col min="1" max="1" width="3.85546875" customWidth="1"/>
    <col min="2" max="2" width="30.140625" customWidth="1"/>
    <col min="3" max="3" width="8.7109375" customWidth="1"/>
    <col min="4" max="4" width="7.140625" customWidth="1"/>
    <col min="5" max="5" width="8.28515625" customWidth="1"/>
    <col min="6" max="6" width="9.140625" customWidth="1"/>
    <col min="7" max="7" width="36.140625" customWidth="1"/>
    <col min="8" max="8" width="35.7109375" customWidth="1"/>
    <col min="9" max="9" width="30.85546875" customWidth="1"/>
    <col min="10" max="11" width="2.42578125" customWidth="1"/>
    <col min="12" max="12" width="8.7109375" customWidth="1"/>
    <col min="13" max="13" width="8.42578125" customWidth="1"/>
    <col min="14" max="14" width="30.7109375" customWidth="1"/>
    <col min="15" max="15" width="21.28515625" customWidth="1"/>
    <col min="16" max="16" width="31.5703125" customWidth="1"/>
  </cols>
  <sheetData>
    <row r="1" spans="1:14" ht="29.1" customHeight="1" x14ac:dyDescent="0.25">
      <c r="A1" s="5"/>
      <c r="B1" s="5" t="s">
        <v>0</v>
      </c>
      <c r="C1" t="s">
        <v>41</v>
      </c>
      <c r="F1" s="2"/>
      <c r="G1" s="2"/>
      <c r="I1" s="2"/>
    </row>
    <row r="2" spans="1:14" ht="29.1" customHeight="1" x14ac:dyDescent="0.25">
      <c r="A2" s="5"/>
      <c r="B2" s="5" t="s">
        <v>1</v>
      </c>
      <c r="C2" t="s">
        <v>42</v>
      </c>
      <c r="F2" s="2"/>
      <c r="G2" s="2"/>
      <c r="I2" s="2"/>
    </row>
    <row r="3" spans="1:14" ht="29.1" customHeight="1" x14ac:dyDescent="0.25">
      <c r="B3" s="5" t="s">
        <v>2</v>
      </c>
      <c r="C3" t="s">
        <v>3</v>
      </c>
      <c r="F3" s="2"/>
      <c r="G3" s="2"/>
      <c r="I3" s="2"/>
    </row>
    <row r="4" spans="1:14" x14ac:dyDescent="0.25">
      <c r="G4" s="5" t="s">
        <v>4</v>
      </c>
    </row>
    <row r="5" spans="1:14" x14ac:dyDescent="0.25">
      <c r="A5" s="3"/>
      <c r="G5" s="6" t="s">
        <v>5</v>
      </c>
    </row>
    <row r="6" spans="1:14" x14ac:dyDescent="0.25">
      <c r="A6" s="3"/>
      <c r="G6" s="6"/>
    </row>
    <row r="7" spans="1:14" ht="26.1" customHeight="1" x14ac:dyDescent="0.25">
      <c r="A7" s="1" t="s">
        <v>6</v>
      </c>
      <c r="B7" s="15" t="s">
        <v>7</v>
      </c>
      <c r="C7" s="16"/>
      <c r="D7" s="16"/>
      <c r="E7" s="16"/>
      <c r="F7" s="17"/>
      <c r="G7" s="7" t="s">
        <v>8</v>
      </c>
      <c r="H7" s="7" t="s">
        <v>9</v>
      </c>
      <c r="I7" s="7" t="s">
        <v>10</v>
      </c>
      <c r="J7" s="1" t="s">
        <v>11</v>
      </c>
      <c r="K7" s="1" t="s">
        <v>12</v>
      </c>
      <c r="L7" s="1" t="s">
        <v>13</v>
      </c>
      <c r="M7" s="4" t="s">
        <v>14</v>
      </c>
      <c r="N7" s="7" t="s">
        <v>15</v>
      </c>
    </row>
    <row r="8" spans="1:14" ht="127.5" customHeight="1" x14ac:dyDescent="0.25">
      <c r="A8" s="8">
        <v>1</v>
      </c>
      <c r="B8" s="12" t="s">
        <v>16</v>
      </c>
      <c r="C8" s="13"/>
      <c r="D8" s="13"/>
      <c r="E8" s="13"/>
      <c r="F8" s="14"/>
      <c r="G8" s="11" t="s">
        <v>17</v>
      </c>
      <c r="H8" s="11" t="s">
        <v>18</v>
      </c>
      <c r="I8" s="11" t="s">
        <v>19</v>
      </c>
      <c r="J8" s="8">
        <v>5</v>
      </c>
      <c r="K8" s="8">
        <v>4</v>
      </c>
      <c r="L8" s="8">
        <f t="shared" ref="L8:L12" si="0">J8*K8</f>
        <v>20</v>
      </c>
      <c r="M8" s="8" t="str">
        <f t="shared" ref="M8:M12" si="1">IF(L8&lt;=2,"Muy Bajo",IF(AND(L8&gt;=3,L8&lt;=4),"Bajo",IF(AND(L8&gt;=5,L8&lt;=9),"Medio",IF(AND(L8&gt;9,L8&lt;20),"Alto",IF(L8&gt;=20,"Extremo","Valores errados")))))</f>
        <v>Extremo</v>
      </c>
      <c r="N8" s="11" t="s">
        <v>20</v>
      </c>
    </row>
    <row r="9" spans="1:14" ht="96" customHeight="1" x14ac:dyDescent="0.25">
      <c r="A9" s="8">
        <v>2</v>
      </c>
      <c r="B9" s="12" t="s">
        <v>21</v>
      </c>
      <c r="C9" s="13"/>
      <c r="D9" s="13"/>
      <c r="E9" s="13"/>
      <c r="F9" s="14"/>
      <c r="G9" s="11" t="s">
        <v>22</v>
      </c>
      <c r="H9" s="11" t="s">
        <v>23</v>
      </c>
      <c r="I9" s="10" t="s">
        <v>24</v>
      </c>
      <c r="J9" s="8">
        <v>4</v>
      </c>
      <c r="K9" s="8">
        <v>4</v>
      </c>
      <c r="L9" s="8">
        <f t="shared" si="0"/>
        <v>16</v>
      </c>
      <c r="M9" s="8" t="str">
        <f t="shared" si="1"/>
        <v>Alto</v>
      </c>
      <c r="N9" s="11" t="s">
        <v>25</v>
      </c>
    </row>
    <row r="10" spans="1:14" ht="221.25" customHeight="1" x14ac:dyDescent="0.25">
      <c r="A10" s="8">
        <v>3</v>
      </c>
      <c r="B10" s="12" t="s">
        <v>26</v>
      </c>
      <c r="C10" s="13"/>
      <c r="D10" s="13"/>
      <c r="E10" s="13"/>
      <c r="F10" s="14"/>
      <c r="G10" s="11" t="s">
        <v>27</v>
      </c>
      <c r="H10" s="11" t="s">
        <v>28</v>
      </c>
      <c r="I10" s="11" t="s">
        <v>29</v>
      </c>
      <c r="J10" s="8">
        <v>4</v>
      </c>
      <c r="K10" s="8">
        <v>4</v>
      </c>
      <c r="L10" s="8">
        <f t="shared" si="0"/>
        <v>16</v>
      </c>
      <c r="M10" s="8" t="str">
        <f t="shared" si="1"/>
        <v>Alto</v>
      </c>
      <c r="N10" s="11" t="s">
        <v>30</v>
      </c>
    </row>
    <row r="11" spans="1:14" ht="219" customHeight="1" x14ac:dyDescent="0.25">
      <c r="A11" s="8">
        <v>4</v>
      </c>
      <c r="B11" s="12" t="s">
        <v>31</v>
      </c>
      <c r="C11" s="13"/>
      <c r="D11" s="13"/>
      <c r="E11" s="13"/>
      <c r="F11" s="14"/>
      <c r="G11" s="11" t="s">
        <v>32</v>
      </c>
      <c r="H11" s="11" t="s">
        <v>33</v>
      </c>
      <c r="I11" s="11" t="s">
        <v>34</v>
      </c>
      <c r="J11" s="8">
        <v>3</v>
      </c>
      <c r="K11" s="8">
        <v>4</v>
      </c>
      <c r="L11" s="9">
        <f t="shared" si="0"/>
        <v>12</v>
      </c>
      <c r="M11" s="8" t="str">
        <f t="shared" si="1"/>
        <v>Alto</v>
      </c>
      <c r="N11" s="11" t="s">
        <v>35</v>
      </c>
    </row>
    <row r="12" spans="1:14" ht="178.5" customHeight="1" x14ac:dyDescent="0.25">
      <c r="A12" s="8">
        <v>5</v>
      </c>
      <c r="B12" s="12" t="s">
        <v>36</v>
      </c>
      <c r="C12" s="13"/>
      <c r="D12" s="13"/>
      <c r="E12" s="13"/>
      <c r="F12" s="14"/>
      <c r="G12" s="11" t="s">
        <v>37</v>
      </c>
      <c r="H12" s="11" t="s">
        <v>38</v>
      </c>
      <c r="I12" s="11" t="s">
        <v>39</v>
      </c>
      <c r="J12" s="8">
        <v>3</v>
      </c>
      <c r="K12" s="8">
        <v>4</v>
      </c>
      <c r="L12" s="9">
        <f t="shared" si="0"/>
        <v>12</v>
      </c>
      <c r="M12" s="8" t="str">
        <f t="shared" si="1"/>
        <v>Alto</v>
      </c>
      <c r="N12" s="11" t="s">
        <v>40</v>
      </c>
    </row>
  </sheetData>
  <mergeCells count="6">
    <mergeCell ref="B12:F12"/>
    <mergeCell ref="B7:F7"/>
    <mergeCell ref="B10:F10"/>
    <mergeCell ref="B11:F11"/>
    <mergeCell ref="B8:F8"/>
    <mergeCell ref="B9:F9"/>
  </mergeCells>
  <conditionalFormatting sqref="M8:M12">
    <cfRule type="cellIs" dxfId="4" priority="1" operator="equal">
      <formula>"Extremo"</formula>
    </cfRule>
    <cfRule type="cellIs" dxfId="3" priority="2" operator="equal">
      <formula>"Alto"</formula>
    </cfRule>
    <cfRule type="cellIs" dxfId="2" priority="3" operator="equal">
      <formula>"Medio"</formula>
    </cfRule>
    <cfRule type="cellIs" dxfId="1" priority="4" operator="equal">
      <formula>"Bajo"</formula>
    </cfRule>
    <cfRule type="cellIs" dxfId="0" priority="5" operator="equal">
      <formula>"Muy bajo"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Grupo 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Cesar Mateo Vera Andrade</cp:lastModifiedBy>
  <dcterms:modified xsi:type="dcterms:W3CDTF">2026-04-24T02:33:15Z</dcterms:modified>
</cp:coreProperties>
</file>